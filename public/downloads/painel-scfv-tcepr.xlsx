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lano de Aplicação" sheetId="3" state="visible" r:id="rId3"/>
    <sheet xmlns:r="http://schemas.openxmlformats.org/officeDocument/2006/relationships" name="Lançamentos" sheetId="4" state="visible" r:id="rId4"/>
    <sheet xmlns:r="http://schemas.openxmlformats.org/officeDocument/2006/relationships" name="Conciliação Bancária" sheetId="5" state="visible" r:id="rId5"/>
    <sheet xmlns:r="http://schemas.openxmlformats.org/officeDocument/2006/relationships" name="Bimestre" sheetId="6" state="visible" r:id="rId6"/>
    <sheet xmlns:r="http://schemas.openxmlformats.org/officeDocument/2006/relationships" name="Checklist 15 itens" sheetId="7" state="visible" r:id="rId7"/>
    <sheet xmlns:r="http://schemas.openxmlformats.org/officeDocument/2006/relationships" name="Alertas" sheetId="8" state="visible" r:id="rId8"/>
    <sheet xmlns:r="http://schemas.openxmlformats.org/officeDocument/2006/relationships" name="Sobre o SynSIT" sheetId="9" state="visible" r:id="rId9"/>
  </sheets>
  <definedNames>
    <definedName name="repasse">Parâmetros!$B$9</definedName>
    <definedName name="cnpj_osc">Parâmetros!$B$4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$ &quot;#,##0.00;[Red](&quot;R$ &quot;#,##0.00);&quot;-&quot;"/>
    <numFmt numFmtId="166" formatCode="&quot;R$ &quot;#,##0.00"/>
  </numFmts>
  <fonts count="14">
    <font>
      <name val="Calibri"/>
      <family val="2"/>
      <color theme="1"/>
      <sz val="11"/>
      <scheme val="minor"/>
    </font>
    <font>
      <name val="Calibri"/>
      <b val="1"/>
      <color rgb="000F1B3D"/>
      <sz val="20"/>
    </font>
    <font>
      <i val="1"/>
      <color rgb="001E3A5F"/>
    </font>
    <font>
      <b val="1"/>
      <color rgb="000F1B3D"/>
      <sz val="14"/>
    </font>
    <font>
      <color rgb="001E3A5F"/>
    </font>
    <font>
      <b val="1"/>
      <color rgb="000F1B3D"/>
    </font>
    <font>
      <b val="1"/>
      <color rgb="000F1B3D"/>
      <sz val="16"/>
    </font>
    <font>
      <color rgb="000000FF"/>
    </font>
    <font>
      <name val="Calibri"/>
      <b val="1"/>
      <color rgb="00FFFFFF"/>
      <sz val="11"/>
    </font>
    <font>
      <b val="1"/>
    </font>
    <font>
      <b val="1"/>
      <color rgb="000F1B3D"/>
      <sz val="20"/>
    </font>
    <font>
      <b val="1"/>
      <color rgb="001E3A5F"/>
      <sz val="12"/>
    </font>
    <font>
      <sz val="11"/>
    </font>
    <font>
      <b val="1"/>
      <color rgb="000F1B3D"/>
      <sz val="13"/>
      <u val="single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0F1B3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7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164" fontId="9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66" fontId="9" fillId="0" borderId="0" pivotButton="0" quotePrefix="0" xfId="0"/>
    <xf numFmtId="10" fontId="9" fillId="0" borderId="0" pivotButton="0" quotePrefix="0" xfId="0"/>
    <xf numFmtId="0" fontId="0" fillId="2" borderId="0" pivotButton="0" quotePrefix="0" xfId="0"/>
    <xf numFmtId="9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1FAE5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Painel de Controle SCFV — IN 201/2026 TCE-PR</t>
        </is>
      </c>
    </row>
    <row r="3">
      <c r="A3" s="2" t="inlineStr">
        <is>
          <t>Material gratuito SynSIT — versão 1.0 (2026)</t>
        </is>
      </c>
    </row>
    <row r="5">
      <c r="A5" s="3" t="inlineStr">
        <is>
          <t>Como usar esta planilha</t>
        </is>
      </c>
    </row>
    <row r="6">
      <c r="A6" t="inlineStr"/>
    </row>
    <row r="7">
      <c r="A7" t="inlineStr">
        <is>
          <t>1. Aba 'Parâmetros' → preencha CNPJ, nome da OSC, termo, valor do repasse e contas.</t>
        </is>
      </c>
    </row>
    <row r="8">
      <c r="A8" t="inlineStr">
        <is>
          <t>2. Aba 'Plano de Aplicação' → lance metas físicas e financeiras do termo.</t>
        </is>
      </c>
    </row>
    <row r="9">
      <c r="A9" t="inlineStr">
        <is>
          <t>3. Aba 'Lançamentos' → registre cada despesa (fornecedor, CNPJ, NF, data, valor, rubrica, conta).</t>
        </is>
      </c>
    </row>
    <row r="10">
      <c r="A10" t="inlineStr">
        <is>
          <t>4. Aba 'Conciliação Bancária' → cole o extrato e a planilha cruza com os lançamentos.</t>
        </is>
      </c>
    </row>
    <row r="11">
      <c r="A11" t="inlineStr">
        <is>
          <t>5. Aba 'Bimestre' → consolida automaticamente o que vai pro SIT a cada 2 meses.</t>
        </is>
      </c>
    </row>
    <row r="12">
      <c r="A12" t="inlineStr">
        <is>
          <t>6. Aba 'Checklist 15 itens' → marque antes de transmitir. Verde = ok pra enviar.</t>
        </is>
      </c>
    </row>
    <row r="13">
      <c r="A13" t="inlineStr">
        <is>
          <t>7. Aba 'Alertas' → mostra inconsistências (valor maior que saldo, CNPJ inválido, rubrica fora do plano).</t>
        </is>
      </c>
    </row>
    <row r="14">
      <c r="A14" t="inlineStr"/>
    </row>
    <row r="15">
      <c r="A15" t="inlineStr">
        <is>
          <t>Por que isso vale mais que um e-book:</t>
        </is>
      </c>
    </row>
    <row r="16">
      <c r="A16" s="4" t="inlineStr">
        <is>
          <t>• O e-book ensina. A planilha executa. Você cola lançamento e ela monta o bimestral.</t>
        </is>
      </c>
    </row>
    <row r="17">
      <c r="A17" s="4" t="inlineStr">
        <is>
          <t>• As fórmulas seguem a lógica do leiaute SIT (cabeçalho, lançamentos, rendimentos, devoluções).</t>
        </is>
      </c>
    </row>
    <row r="18">
      <c r="A18" s="4" t="inlineStr">
        <is>
          <t>• O checklist é o mesmo que o TCE usa nas auditorias mais comuns.</t>
        </is>
      </c>
    </row>
    <row r="19">
      <c r="A19" t="inlineStr"/>
    </row>
    <row r="20">
      <c r="A20" s="5" t="inlineStr">
        <is>
          <t>Quer parar de fazer isso na mão? Conheça o SynSIT em https://synsit.lovable.app</t>
        </is>
      </c>
    </row>
    <row r="21">
      <c r="A21" s="5" t="inlineStr">
        <is>
          <t>Demonstração gratuita: https://synsit.lovable.app/demonstracao</t>
        </is>
      </c>
    </row>
  </sheetData>
  <mergeCells count="19">
    <mergeCell ref="A16:F16"/>
    <mergeCell ref="A12:F12"/>
    <mergeCell ref="A18:F18"/>
    <mergeCell ref="A3:F3"/>
    <mergeCell ref="A21:F21"/>
    <mergeCell ref="A14:F14"/>
    <mergeCell ref="A5:F5"/>
    <mergeCell ref="A8:F8"/>
    <mergeCell ref="A17:F17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6" t="inlineStr">
        <is>
          <t>Parâmetros do Termo</t>
        </is>
      </c>
    </row>
    <row r="3">
      <c r="A3" s="5" t="inlineStr">
        <is>
          <t>Nome da OSC</t>
        </is>
      </c>
      <c r="B3" s="7" t="inlineStr">
        <is>
          <t>Associação Exemplo</t>
        </is>
      </c>
    </row>
    <row r="4">
      <c r="A4" s="5" t="inlineStr">
        <is>
          <t>CNPJ da OSC</t>
        </is>
      </c>
      <c r="B4" s="7" t="inlineStr">
        <is>
          <t>00.000.000/0001-00</t>
        </is>
      </c>
    </row>
    <row r="5">
      <c r="A5" s="5" t="inlineStr">
        <is>
          <t>Termo de Colaboração nº</t>
        </is>
      </c>
      <c r="B5" s="7" t="inlineStr">
        <is>
          <t>001/2026</t>
        </is>
      </c>
    </row>
    <row r="6">
      <c r="A6" s="5" t="inlineStr">
        <is>
          <t>Objeto</t>
        </is>
      </c>
      <c r="B6" s="7" t="inlineStr">
        <is>
          <t>Execução do SCFV - Crianças e Adolescentes 6 a 15 anos</t>
        </is>
      </c>
    </row>
    <row r="7">
      <c r="A7" s="5" t="inlineStr">
        <is>
          <t>Vigência início</t>
        </is>
      </c>
      <c r="B7" s="7" t="inlineStr">
        <is>
          <t>01/03/2026</t>
        </is>
      </c>
    </row>
    <row r="8">
      <c r="A8" s="5" t="inlineStr">
        <is>
          <t>Vigência fim</t>
        </is>
      </c>
      <c r="B8" s="7" t="inlineStr">
        <is>
          <t>31/12/2026</t>
        </is>
      </c>
    </row>
    <row r="9">
      <c r="A9" s="5" t="inlineStr">
        <is>
          <t>Valor total do repasse (R$)</t>
        </is>
      </c>
      <c r="B9" s="7" t="n">
        <v>240000</v>
      </c>
    </row>
    <row r="10">
      <c r="A10" s="5" t="inlineStr">
        <is>
          <t>Conta bancária - banco/agência/conta</t>
        </is>
      </c>
      <c r="B10" s="7" t="inlineStr">
        <is>
          <t>Banco do Brasil / 0001-9 / 12345-6</t>
        </is>
      </c>
    </row>
    <row r="11">
      <c r="A11" s="5" t="inlineStr">
        <is>
          <t>Conselho fiscalizador</t>
        </is>
      </c>
      <c r="B11" s="7" t="inlineStr">
        <is>
          <t>CMAS Medianeira</t>
        </is>
      </c>
    </row>
    <row r="12">
      <c r="A12" s="5" t="inlineStr">
        <is>
          <t>Responsável técnico (contador)</t>
        </is>
      </c>
      <c r="B12" s="7" t="inlineStr">
        <is>
          <t>Nome do contador - CRC PR-000000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20" customWidth="1" min="4" max="4"/>
    <col width="18" customWidth="1" min="5" max="5"/>
    <col width="14" customWidth="1" min="6" max="6"/>
  </cols>
  <sheetData>
    <row r="1">
      <c r="A1" s="8" t="inlineStr">
        <is>
          <t>Rubrica</t>
        </is>
      </c>
      <c r="B1" s="8" t="inlineStr">
        <is>
          <t>Descrição</t>
        </is>
      </c>
      <c r="C1" s="8" t="inlineStr">
        <is>
          <t>Valor previsto (R$)</t>
        </is>
      </c>
      <c r="D1" s="8" t="inlineStr">
        <is>
          <t>Valor executado (R$)</t>
        </is>
      </c>
      <c r="E1" s="8" t="inlineStr">
        <is>
          <t>Saldo (R$)</t>
        </is>
      </c>
      <c r="F1" s="8" t="inlineStr">
        <is>
          <t>% Execução</t>
        </is>
      </c>
    </row>
    <row r="2">
      <c r="A2" s="9" t="inlineStr">
        <is>
          <t>3.1.90.11</t>
        </is>
      </c>
      <c r="B2" s="9" t="inlineStr">
        <is>
          <t>Vencimentos e vantagens fixas (educador social)</t>
        </is>
      </c>
      <c r="C2" s="10" t="n">
        <v>96000</v>
      </c>
      <c r="D2" s="11">
        <f>IFERROR(SUMIF(Lançamentos!F:F,A2,Lançamentos!E:E),0)</f>
        <v/>
      </c>
      <c r="E2" s="11">
        <f>C2-D2</f>
        <v/>
      </c>
      <c r="F2" s="12">
        <f>IFERROR(D2/C2,0)</f>
        <v/>
      </c>
    </row>
    <row r="3">
      <c r="A3" s="9" t="inlineStr">
        <is>
          <t>3.1.90.13</t>
        </is>
      </c>
      <c r="B3" s="9" t="inlineStr">
        <is>
          <t>Obrigações patronais</t>
        </is>
      </c>
      <c r="C3" s="10" t="n">
        <v>28000</v>
      </c>
      <c r="D3" s="11">
        <f>IFERROR(SUMIF(Lançamentos!F:F,A3,Lançamentos!E:E),0)</f>
        <v/>
      </c>
      <c r="E3" s="11">
        <f>C3-D3</f>
        <v/>
      </c>
      <c r="F3" s="12">
        <f>IFERROR(D3/C3,0)</f>
        <v/>
      </c>
    </row>
    <row r="4">
      <c r="A4" s="9" t="inlineStr">
        <is>
          <t>3.3.90.30</t>
        </is>
      </c>
      <c r="B4" s="9" t="inlineStr">
        <is>
          <t>Material de consumo (pedagógico, higiene)</t>
        </is>
      </c>
      <c r="C4" s="10" t="n">
        <v>22000</v>
      </c>
      <c r="D4" s="11">
        <f>IFERROR(SUMIF(Lançamentos!F:F,A4,Lançamentos!E:E),0)</f>
        <v/>
      </c>
      <c r="E4" s="11">
        <f>C4-D4</f>
        <v/>
      </c>
      <c r="F4" s="12">
        <f>IFERROR(D4/C4,0)</f>
        <v/>
      </c>
    </row>
    <row r="5">
      <c r="A5" s="9" t="inlineStr">
        <is>
          <t>3.3.90.36</t>
        </is>
      </c>
      <c r="B5" s="9" t="inlineStr">
        <is>
          <t>Serviços de terceiros - PF (oficineiro)</t>
        </is>
      </c>
      <c r="C5" s="10" t="n">
        <v>24000</v>
      </c>
      <c r="D5" s="11">
        <f>IFERROR(SUMIF(Lançamentos!F:F,A5,Lançamentos!E:E),0)</f>
        <v/>
      </c>
      <c r="E5" s="11">
        <f>C5-D5</f>
        <v/>
      </c>
      <c r="F5" s="12">
        <f>IFERROR(D5/C5,0)</f>
        <v/>
      </c>
    </row>
    <row r="6">
      <c r="A6" s="9" t="inlineStr">
        <is>
          <t>3.3.90.39</t>
        </is>
      </c>
      <c r="B6" s="9" t="inlineStr">
        <is>
          <t>Serviços de terceiros - PJ (contabilidade, internet)</t>
        </is>
      </c>
      <c r="C6" s="10" t="n">
        <v>30000</v>
      </c>
      <c r="D6" s="11">
        <f>IFERROR(SUMIF(Lançamentos!F:F,A6,Lançamentos!E:E),0)</f>
        <v/>
      </c>
      <c r="E6" s="11">
        <f>C6-D6</f>
        <v/>
      </c>
      <c r="F6" s="12">
        <f>IFERROR(D6/C6,0)</f>
        <v/>
      </c>
    </row>
    <row r="7">
      <c r="A7" s="9" t="inlineStr">
        <is>
          <t>3.3.90.40</t>
        </is>
      </c>
      <c r="B7" s="9" t="inlineStr">
        <is>
          <t>Locações</t>
        </is>
      </c>
      <c r="C7" s="10" t="n">
        <v>18000</v>
      </c>
      <c r="D7" s="11">
        <f>IFERROR(SUMIF(Lançamentos!F:F,A7,Lançamentos!E:E),0)</f>
        <v/>
      </c>
      <c r="E7" s="11">
        <f>C7-D7</f>
        <v/>
      </c>
      <c r="F7" s="12">
        <f>IFERROR(D7/C7,0)</f>
        <v/>
      </c>
    </row>
    <row r="8">
      <c r="A8" s="9" t="inlineStr">
        <is>
          <t>4.4.90.52</t>
        </is>
      </c>
      <c r="B8" s="9" t="inlineStr">
        <is>
          <t>Equipamentos e material permanente</t>
        </is>
      </c>
      <c r="C8" s="10" t="n">
        <v>22000</v>
      </c>
      <c r="D8" s="11">
        <f>IFERROR(SUMIF(Lançamentos!F:F,A8,Lançamentos!E:E),0)</f>
        <v/>
      </c>
      <c r="E8" s="11">
        <f>C8-D8</f>
        <v/>
      </c>
      <c r="F8" s="12">
        <f>IFERROR(D8/C8,0)</f>
        <v/>
      </c>
    </row>
    <row r="9">
      <c r="B9" s="13" t="inlineStr">
        <is>
          <t>TOTAL</t>
        </is>
      </c>
      <c r="C9" s="14">
        <f>SUM(C2:C8)</f>
        <v/>
      </c>
      <c r="D9" s="14">
        <f>SUM(D2:D8)</f>
        <v/>
      </c>
      <c r="E9" s="14">
        <f>SUM(E2:E8)</f>
        <v/>
      </c>
      <c r="F9" s="15">
        <f>IFERROR(D9/C9,0)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4" customWidth="1" min="5" max="5"/>
    <col width="14" customWidth="1" min="6" max="6"/>
    <col width="22" customWidth="1" min="7" max="7"/>
    <col width="12" customWidth="1" min="8" max="8"/>
    <col width="28" customWidth="1" min="9" max="9"/>
    <col width="18" customWidth="1" min="10" max="10"/>
  </cols>
  <sheetData>
    <row r="1">
      <c r="A1" s="8" t="inlineStr">
        <is>
          <t>Data</t>
        </is>
      </c>
      <c r="B1" s="8" t="inlineStr">
        <is>
          <t>Fornecedor</t>
        </is>
      </c>
      <c r="C1" s="8" t="inlineStr">
        <is>
          <t>CNPJ/CPF</t>
        </is>
      </c>
      <c r="D1" s="8" t="inlineStr">
        <is>
          <t>Documento (NF/Recibo)</t>
        </is>
      </c>
      <c r="E1" s="8" t="inlineStr">
        <is>
          <t>Valor (R$)</t>
        </is>
      </c>
      <c r="F1" s="8" t="inlineStr">
        <is>
          <t>Rubrica</t>
        </is>
      </c>
      <c r="G1" s="8" t="inlineStr">
        <is>
          <t>Conta de origem</t>
        </is>
      </c>
      <c r="H1" s="8" t="inlineStr">
        <is>
          <t>Bimestre</t>
        </is>
      </c>
      <c r="I1" s="8" t="inlineStr">
        <is>
          <t>Observação</t>
        </is>
      </c>
      <c r="J1" s="8" t="inlineStr">
        <is>
          <t>Status</t>
        </is>
      </c>
    </row>
    <row r="2">
      <c r="E2" s="11" t="n"/>
      <c r="H2">
        <f>IF(A2="","","B"&amp;ROUNDUP(MONTH(A2)/2,0)&amp;"/"&amp;YEAR(A2))</f>
        <v/>
      </c>
      <c r="J2">
        <f>IF(A2="","",IF(ISNUMBER(MATCH(F2,'Plano de Aplicação'!A:A,0)),"OK","RUBRICA INVÁLIDA"))</f>
        <v/>
      </c>
    </row>
    <row r="3">
      <c r="E3" s="11" t="n"/>
      <c r="H3">
        <f>IF(A3="","","B"&amp;ROUNDUP(MONTH(A3)/2,0)&amp;"/"&amp;YEAR(A3))</f>
        <v/>
      </c>
      <c r="J3">
        <f>IF(A3="","",IF(ISNUMBER(MATCH(F3,'Plano de Aplicação'!A:A,0)),"OK","RUBRICA INVÁLIDA"))</f>
        <v/>
      </c>
    </row>
    <row r="4">
      <c r="E4" s="11" t="n"/>
      <c r="H4">
        <f>IF(A4="","","B"&amp;ROUNDUP(MONTH(A4)/2,0)&amp;"/"&amp;YEAR(A4))</f>
        <v/>
      </c>
      <c r="J4">
        <f>IF(A4="","",IF(ISNUMBER(MATCH(F4,'Plano de Aplicação'!A:A,0)),"OK","RUBRICA INVÁLIDA"))</f>
        <v/>
      </c>
    </row>
    <row r="5">
      <c r="E5" s="11" t="n"/>
      <c r="H5">
        <f>IF(A5="","","B"&amp;ROUNDUP(MONTH(A5)/2,0)&amp;"/"&amp;YEAR(A5))</f>
        <v/>
      </c>
      <c r="J5">
        <f>IF(A5="","",IF(ISNUMBER(MATCH(F5,'Plano de Aplicação'!A:A,0)),"OK","RUBRICA INVÁLIDA"))</f>
        <v/>
      </c>
    </row>
    <row r="6">
      <c r="E6" s="11" t="n"/>
      <c r="H6">
        <f>IF(A6="","","B"&amp;ROUNDUP(MONTH(A6)/2,0)&amp;"/"&amp;YEAR(A6))</f>
        <v/>
      </c>
      <c r="J6">
        <f>IF(A6="","",IF(ISNUMBER(MATCH(F6,'Plano de Aplicação'!A:A,0)),"OK","RUBRICA INVÁLIDA"))</f>
        <v/>
      </c>
    </row>
    <row r="7">
      <c r="E7" s="11" t="n"/>
      <c r="H7">
        <f>IF(A7="","","B"&amp;ROUNDUP(MONTH(A7)/2,0)&amp;"/"&amp;YEAR(A7))</f>
        <v/>
      </c>
      <c r="J7">
        <f>IF(A7="","",IF(ISNUMBER(MATCH(F7,'Plano de Aplicação'!A:A,0)),"OK","RUBRICA INVÁLIDA"))</f>
        <v/>
      </c>
    </row>
    <row r="8">
      <c r="E8" s="11" t="n"/>
      <c r="H8">
        <f>IF(A8="","","B"&amp;ROUNDUP(MONTH(A8)/2,0)&amp;"/"&amp;YEAR(A8))</f>
        <v/>
      </c>
      <c r="J8">
        <f>IF(A8="","",IF(ISNUMBER(MATCH(F8,'Plano de Aplicação'!A:A,0)),"OK","RUBRICA INVÁLIDA"))</f>
        <v/>
      </c>
    </row>
    <row r="9">
      <c r="E9" s="11" t="n"/>
      <c r="H9">
        <f>IF(A9="","","B"&amp;ROUNDUP(MONTH(A9)/2,0)&amp;"/"&amp;YEAR(A9))</f>
        <v/>
      </c>
      <c r="J9">
        <f>IF(A9="","",IF(ISNUMBER(MATCH(F9,'Plano de Aplicação'!A:A,0)),"OK","RUBRICA INVÁLIDA"))</f>
        <v/>
      </c>
    </row>
    <row r="10">
      <c r="E10" s="11" t="n"/>
      <c r="H10">
        <f>IF(A10="","","B"&amp;ROUNDUP(MONTH(A10)/2,0)&amp;"/"&amp;YEAR(A10))</f>
        <v/>
      </c>
      <c r="J10">
        <f>IF(A10="","",IF(ISNUMBER(MATCH(F10,'Plano de Aplicação'!A:A,0)),"OK","RUBRICA INVÁLIDA"))</f>
        <v/>
      </c>
    </row>
    <row r="11">
      <c r="E11" s="11" t="n"/>
      <c r="H11">
        <f>IF(A11="","","B"&amp;ROUNDUP(MONTH(A11)/2,0)&amp;"/"&amp;YEAR(A11))</f>
        <v/>
      </c>
      <c r="J11">
        <f>IF(A11="","",IF(ISNUMBER(MATCH(F11,'Plano de Aplicação'!A:A,0)),"OK","RUBRICA INVÁLIDA"))</f>
        <v/>
      </c>
    </row>
    <row r="12">
      <c r="E12" s="11" t="n"/>
      <c r="H12">
        <f>IF(A12="","","B"&amp;ROUNDUP(MONTH(A12)/2,0)&amp;"/"&amp;YEAR(A12))</f>
        <v/>
      </c>
      <c r="J12">
        <f>IF(A12="","",IF(ISNUMBER(MATCH(F12,'Plano de Aplicação'!A:A,0)),"OK","RUBRICA INVÁLIDA"))</f>
        <v/>
      </c>
    </row>
    <row r="13">
      <c r="E13" s="11" t="n"/>
      <c r="H13">
        <f>IF(A13="","","B"&amp;ROUNDUP(MONTH(A13)/2,0)&amp;"/"&amp;YEAR(A13))</f>
        <v/>
      </c>
      <c r="J13">
        <f>IF(A13="","",IF(ISNUMBER(MATCH(F13,'Plano de Aplicação'!A:A,0)),"OK","RUBRICA INVÁLIDA"))</f>
        <v/>
      </c>
    </row>
    <row r="14">
      <c r="E14" s="11" t="n"/>
      <c r="H14">
        <f>IF(A14="","","B"&amp;ROUNDUP(MONTH(A14)/2,0)&amp;"/"&amp;YEAR(A14))</f>
        <v/>
      </c>
      <c r="J14">
        <f>IF(A14="","",IF(ISNUMBER(MATCH(F14,'Plano de Aplicação'!A:A,0)),"OK","RUBRICA INVÁLIDA"))</f>
        <v/>
      </c>
    </row>
    <row r="15">
      <c r="E15" s="11" t="n"/>
      <c r="H15">
        <f>IF(A15="","","B"&amp;ROUNDUP(MONTH(A15)/2,0)&amp;"/"&amp;YEAR(A15))</f>
        <v/>
      </c>
      <c r="J15">
        <f>IF(A15="","",IF(ISNUMBER(MATCH(F15,'Plano de Aplicação'!A:A,0)),"OK","RUBRICA INVÁLIDA"))</f>
        <v/>
      </c>
    </row>
    <row r="16">
      <c r="E16" s="11" t="n"/>
      <c r="H16">
        <f>IF(A16="","","B"&amp;ROUNDUP(MONTH(A16)/2,0)&amp;"/"&amp;YEAR(A16))</f>
        <v/>
      </c>
      <c r="J16">
        <f>IF(A16="","",IF(ISNUMBER(MATCH(F16,'Plano de Aplicação'!A:A,0)),"OK","RUBRICA INVÁLIDA"))</f>
        <v/>
      </c>
    </row>
    <row r="17">
      <c r="E17" s="11" t="n"/>
      <c r="H17">
        <f>IF(A17="","","B"&amp;ROUNDUP(MONTH(A17)/2,0)&amp;"/"&amp;YEAR(A17))</f>
        <v/>
      </c>
      <c r="J17">
        <f>IF(A17="","",IF(ISNUMBER(MATCH(F17,'Plano de Aplicação'!A:A,0)),"OK","RUBRICA INVÁLIDA"))</f>
        <v/>
      </c>
    </row>
    <row r="18">
      <c r="E18" s="11" t="n"/>
      <c r="H18">
        <f>IF(A18="","","B"&amp;ROUNDUP(MONTH(A18)/2,0)&amp;"/"&amp;YEAR(A18))</f>
        <v/>
      </c>
      <c r="J18">
        <f>IF(A18="","",IF(ISNUMBER(MATCH(F18,'Plano de Aplicação'!A:A,0)),"OK","RUBRICA INVÁLIDA"))</f>
        <v/>
      </c>
    </row>
    <row r="19">
      <c r="E19" s="11" t="n"/>
      <c r="H19">
        <f>IF(A19="","","B"&amp;ROUNDUP(MONTH(A19)/2,0)&amp;"/"&amp;YEAR(A19))</f>
        <v/>
      </c>
      <c r="J19">
        <f>IF(A19="","",IF(ISNUMBER(MATCH(F19,'Plano de Aplicação'!A:A,0)),"OK","RUBRICA INVÁLIDA"))</f>
        <v/>
      </c>
    </row>
    <row r="20">
      <c r="E20" s="11" t="n"/>
      <c r="H20">
        <f>IF(A20="","","B"&amp;ROUNDUP(MONTH(A20)/2,0)&amp;"/"&amp;YEAR(A20))</f>
        <v/>
      </c>
      <c r="J20">
        <f>IF(A20="","",IF(ISNUMBER(MATCH(F20,'Plano de Aplicação'!A:A,0)),"OK","RUBRICA INVÁLIDA"))</f>
        <v/>
      </c>
    </row>
    <row r="21">
      <c r="E21" s="11" t="n"/>
      <c r="H21">
        <f>IF(A21="","","B"&amp;ROUNDUP(MONTH(A21)/2,0)&amp;"/"&amp;YEAR(A21))</f>
        <v/>
      </c>
      <c r="J21">
        <f>IF(A21="","",IF(ISNUMBER(MATCH(F21,'Plano de Aplicação'!A:A,0)),"OK","RUBRICA INVÁLIDA"))</f>
        <v/>
      </c>
    </row>
    <row r="22">
      <c r="E22" s="11" t="n"/>
      <c r="H22">
        <f>IF(A22="","","B"&amp;ROUNDUP(MONTH(A22)/2,0)&amp;"/"&amp;YEAR(A22))</f>
        <v/>
      </c>
      <c r="J22">
        <f>IF(A22="","",IF(ISNUMBER(MATCH(F22,'Plano de Aplicação'!A:A,0)),"OK","RUBRICA INVÁLIDA"))</f>
        <v/>
      </c>
    </row>
    <row r="23">
      <c r="E23" s="11" t="n"/>
      <c r="H23">
        <f>IF(A23="","","B"&amp;ROUNDUP(MONTH(A23)/2,0)&amp;"/"&amp;YEAR(A23))</f>
        <v/>
      </c>
      <c r="J23">
        <f>IF(A23="","",IF(ISNUMBER(MATCH(F23,'Plano de Aplicação'!A:A,0)),"OK","RUBRICA INVÁLIDA"))</f>
        <v/>
      </c>
    </row>
    <row r="24">
      <c r="E24" s="11" t="n"/>
      <c r="H24">
        <f>IF(A24="","","B"&amp;ROUNDUP(MONTH(A24)/2,0)&amp;"/"&amp;YEAR(A24))</f>
        <v/>
      </c>
      <c r="J24">
        <f>IF(A24="","",IF(ISNUMBER(MATCH(F24,'Plano de Aplicação'!A:A,0)),"OK","RUBRICA INVÁLIDA"))</f>
        <v/>
      </c>
    </row>
    <row r="25">
      <c r="E25" s="11" t="n"/>
      <c r="H25">
        <f>IF(A25="","","B"&amp;ROUNDUP(MONTH(A25)/2,0)&amp;"/"&amp;YEAR(A25))</f>
        <v/>
      </c>
      <c r="J25">
        <f>IF(A25="","",IF(ISNUMBER(MATCH(F25,'Plano de Aplicação'!A:A,0)),"OK","RUBRICA INVÁLIDA"))</f>
        <v/>
      </c>
    </row>
    <row r="26">
      <c r="E26" s="11" t="n"/>
      <c r="H26">
        <f>IF(A26="","","B"&amp;ROUNDUP(MONTH(A26)/2,0)&amp;"/"&amp;YEAR(A26))</f>
        <v/>
      </c>
      <c r="J26">
        <f>IF(A26="","",IF(ISNUMBER(MATCH(F26,'Plano de Aplicação'!A:A,0)),"OK","RUBRICA INVÁLIDA"))</f>
        <v/>
      </c>
    </row>
    <row r="27">
      <c r="E27" s="11" t="n"/>
      <c r="H27">
        <f>IF(A27="","","B"&amp;ROUNDUP(MONTH(A27)/2,0)&amp;"/"&amp;YEAR(A27))</f>
        <v/>
      </c>
      <c r="J27">
        <f>IF(A27="","",IF(ISNUMBER(MATCH(F27,'Plano de Aplicação'!A:A,0)),"OK","RUBRICA INVÁLIDA"))</f>
        <v/>
      </c>
    </row>
    <row r="28">
      <c r="E28" s="11" t="n"/>
      <c r="H28">
        <f>IF(A28="","","B"&amp;ROUNDUP(MONTH(A28)/2,0)&amp;"/"&amp;YEAR(A28))</f>
        <v/>
      </c>
      <c r="J28">
        <f>IF(A28="","",IF(ISNUMBER(MATCH(F28,'Plano de Aplicação'!A:A,0)),"OK","RUBRICA INVÁLIDA"))</f>
        <v/>
      </c>
    </row>
    <row r="29">
      <c r="E29" s="11" t="n"/>
      <c r="H29">
        <f>IF(A29="","","B"&amp;ROUNDUP(MONTH(A29)/2,0)&amp;"/"&amp;YEAR(A29))</f>
        <v/>
      </c>
      <c r="J29">
        <f>IF(A29="","",IF(ISNUMBER(MATCH(F29,'Plano de Aplicação'!A:A,0)),"OK","RUBRICA INVÁLIDA"))</f>
        <v/>
      </c>
    </row>
    <row r="30">
      <c r="E30" s="11" t="n"/>
      <c r="H30">
        <f>IF(A30="","","B"&amp;ROUNDUP(MONTH(A30)/2,0)&amp;"/"&amp;YEAR(A30))</f>
        <v/>
      </c>
      <c r="J30">
        <f>IF(A30="","",IF(ISNUMBER(MATCH(F30,'Plano de Aplicação'!A:A,0)),"OK","RUBRICA INVÁLIDA"))</f>
        <v/>
      </c>
    </row>
    <row r="31">
      <c r="E31" s="11" t="n"/>
      <c r="H31">
        <f>IF(A31="","","B"&amp;ROUNDUP(MONTH(A31)/2,0)&amp;"/"&amp;YEAR(A31))</f>
        <v/>
      </c>
      <c r="J31">
        <f>IF(A31="","",IF(ISNUMBER(MATCH(F31,'Plano de Aplicação'!A:A,0)),"OK","RUBRICA INVÁLIDA"))</f>
        <v/>
      </c>
    </row>
  </sheetData>
  <conditionalFormatting sqref="J2:J31">
    <cfRule type="cellIs" priority="1" operator="equal" dxfId="0">
      <formula>"OK"</formula>
    </cfRule>
    <cfRule type="cellIs" priority="2" operator="equal" dxfId="1">
      <formula>"RUBRICA INVÁLIDA"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2" customWidth="1" min="4" max="4"/>
    <col width="18" customWidth="1" min="5" max="5"/>
    <col width="14" customWidth="1" min="6" max="6"/>
    <col width="20" customWidth="1" min="7" max="7"/>
    <col width="2" customWidth="1" min="8" max="8"/>
    <col width="60" customWidth="1" min="9" max="9"/>
  </cols>
  <sheetData>
    <row r="1">
      <c r="A1" s="8" t="inlineStr">
        <is>
          <t>Data extrato</t>
        </is>
      </c>
      <c r="B1" s="8" t="inlineStr">
        <is>
          <t>Histórico</t>
        </is>
      </c>
      <c r="C1" s="8" t="inlineStr">
        <is>
          <t>Valor extrato (R$)</t>
        </is>
      </c>
      <c r="D1" s="8" t="inlineStr">
        <is>
          <t>Tipo</t>
        </is>
      </c>
      <c r="E1" s="8" t="inlineStr">
        <is>
          <t>Valor planilha (R$)</t>
        </is>
      </c>
      <c r="F1" s="8" t="inlineStr">
        <is>
          <t>Diferença</t>
        </is>
      </c>
      <c r="G1" s="8" t="inlineStr">
        <is>
          <t>Conferido?</t>
        </is>
      </c>
      <c r="I1" s="2" t="inlineStr">
        <is>
          <t>Cole o extrato bancário nas colunas A-D. A coluna E busca o lançamento pelo valor + data.</t>
        </is>
      </c>
    </row>
    <row r="2">
      <c r="C2" s="16" t="n"/>
      <c r="E2" s="16">
        <f>IFERROR(INDEX(Lançamentos!E:E,MATCH(1,(Lançamentos!A:A=A2)*(Lançamentos!E:E=C2),0)),0)</f>
        <v/>
      </c>
      <c r="F2" s="11">
        <f>C2-E2</f>
        <v/>
      </c>
      <c r="G2">
        <f>IF(A2="","",IF(ABS(F2)&lt;0.01,"✓ CONCILIADO","⚠ DIVERGÊNCIA"))</f>
        <v/>
      </c>
    </row>
    <row r="3">
      <c r="C3" s="16" t="n"/>
      <c r="E3" s="16">
        <f>IFERROR(INDEX(Lançamentos!E:E,MATCH(1,(Lançamentos!A:A=A3)*(Lançamentos!E:E=C3),0)),0)</f>
        <v/>
      </c>
      <c r="F3" s="11">
        <f>C3-E3</f>
        <v/>
      </c>
      <c r="G3">
        <f>IF(A3="","",IF(ABS(F3)&lt;0.01,"✓ CONCILIADO","⚠ DIVERGÊNCIA"))</f>
        <v/>
      </c>
    </row>
    <row r="4">
      <c r="C4" s="16" t="n"/>
      <c r="E4" s="16">
        <f>IFERROR(INDEX(Lançamentos!E:E,MATCH(1,(Lançamentos!A:A=A4)*(Lançamentos!E:E=C4),0)),0)</f>
        <v/>
      </c>
      <c r="F4" s="11">
        <f>C4-E4</f>
        <v/>
      </c>
      <c r="G4">
        <f>IF(A4="","",IF(ABS(F4)&lt;0.01,"✓ CONCILIADO","⚠ DIVERGÊNCIA"))</f>
        <v/>
      </c>
    </row>
    <row r="5">
      <c r="C5" s="16" t="n"/>
      <c r="E5" s="16">
        <f>IFERROR(INDEX(Lançamentos!E:E,MATCH(1,(Lançamentos!A:A=A5)*(Lançamentos!E:E=C5),0)),0)</f>
        <v/>
      </c>
      <c r="F5" s="11">
        <f>C5-E5</f>
        <v/>
      </c>
      <c r="G5">
        <f>IF(A5="","",IF(ABS(F5)&lt;0.01,"✓ CONCILIADO","⚠ DIVERGÊNCIA"))</f>
        <v/>
      </c>
    </row>
    <row r="6">
      <c r="C6" s="16" t="n"/>
      <c r="E6" s="16">
        <f>IFERROR(INDEX(Lançamentos!E:E,MATCH(1,(Lançamentos!A:A=A6)*(Lançamentos!E:E=C6),0)),0)</f>
        <v/>
      </c>
      <c r="F6" s="11">
        <f>C6-E6</f>
        <v/>
      </c>
      <c r="G6">
        <f>IF(A6="","",IF(ABS(F6)&lt;0.01,"✓ CONCILIADO","⚠ DIVERGÊNCIA"))</f>
        <v/>
      </c>
    </row>
    <row r="7">
      <c r="C7" s="16" t="n"/>
      <c r="E7" s="16">
        <f>IFERROR(INDEX(Lançamentos!E:E,MATCH(1,(Lançamentos!A:A=A7)*(Lançamentos!E:E=C7),0)),0)</f>
        <v/>
      </c>
      <c r="F7" s="11">
        <f>C7-E7</f>
        <v/>
      </c>
      <c r="G7">
        <f>IF(A7="","",IF(ABS(F7)&lt;0.01,"✓ CONCILIADO","⚠ DIVERGÊNCIA"))</f>
        <v/>
      </c>
    </row>
    <row r="8">
      <c r="C8" s="16" t="n"/>
      <c r="E8" s="16">
        <f>IFERROR(INDEX(Lançamentos!E:E,MATCH(1,(Lançamentos!A:A=A8)*(Lançamentos!E:E=C8),0)),0)</f>
        <v/>
      </c>
      <c r="F8" s="11">
        <f>C8-E8</f>
        <v/>
      </c>
      <c r="G8">
        <f>IF(A8="","",IF(ABS(F8)&lt;0.01,"✓ CONCILIADO","⚠ DIVERGÊNCIA"))</f>
        <v/>
      </c>
    </row>
    <row r="9">
      <c r="C9" s="16" t="n"/>
      <c r="E9" s="16">
        <f>IFERROR(INDEX(Lançamentos!E:E,MATCH(1,(Lançamentos!A:A=A9)*(Lançamentos!E:E=C9),0)),0)</f>
        <v/>
      </c>
      <c r="F9" s="11">
        <f>C9-E9</f>
        <v/>
      </c>
      <c r="G9">
        <f>IF(A9="","",IF(ABS(F9)&lt;0.01,"✓ CONCILIADO","⚠ DIVERGÊNCIA"))</f>
        <v/>
      </c>
    </row>
    <row r="10">
      <c r="C10" s="16" t="n"/>
      <c r="E10" s="16">
        <f>IFERROR(INDEX(Lançamentos!E:E,MATCH(1,(Lançamentos!A:A=A10)*(Lançamentos!E:E=C10),0)),0)</f>
        <v/>
      </c>
      <c r="F10" s="11">
        <f>C10-E10</f>
        <v/>
      </c>
      <c r="G10">
        <f>IF(A10="","",IF(ABS(F10)&lt;0.01,"✓ CONCILIADO","⚠ DIVERGÊNCIA"))</f>
        <v/>
      </c>
    </row>
    <row r="11">
      <c r="C11" s="16" t="n"/>
      <c r="E11" s="16">
        <f>IFERROR(INDEX(Lançamentos!E:E,MATCH(1,(Lançamentos!A:A=A11)*(Lançamentos!E:E=C11),0)),0)</f>
        <v/>
      </c>
      <c r="F11" s="11">
        <f>C11-E11</f>
        <v/>
      </c>
      <c r="G11">
        <f>IF(A11="","",IF(ABS(F11)&lt;0.01,"✓ CONCILIADO","⚠ DIVERGÊNCIA"))</f>
        <v/>
      </c>
    </row>
    <row r="12">
      <c r="C12" s="16" t="n"/>
      <c r="E12" s="16">
        <f>IFERROR(INDEX(Lançamentos!E:E,MATCH(1,(Lançamentos!A:A=A12)*(Lançamentos!E:E=C12),0)),0)</f>
        <v/>
      </c>
      <c r="F12" s="11">
        <f>C12-E12</f>
        <v/>
      </c>
      <c r="G12">
        <f>IF(A12="","",IF(ABS(F12)&lt;0.01,"✓ CONCILIADO","⚠ DIVERGÊNCIA"))</f>
        <v/>
      </c>
    </row>
    <row r="13">
      <c r="C13" s="16" t="n"/>
      <c r="E13" s="16">
        <f>IFERROR(INDEX(Lançamentos!E:E,MATCH(1,(Lançamentos!A:A=A13)*(Lançamentos!E:E=C13),0)),0)</f>
        <v/>
      </c>
      <c r="F13" s="11">
        <f>C13-E13</f>
        <v/>
      </c>
      <c r="G13">
        <f>IF(A13="","",IF(ABS(F13)&lt;0.01,"✓ CONCILIADO","⚠ DIVERGÊNCIA"))</f>
        <v/>
      </c>
    </row>
    <row r="14">
      <c r="C14" s="16" t="n"/>
      <c r="E14" s="16">
        <f>IFERROR(INDEX(Lançamentos!E:E,MATCH(1,(Lançamentos!A:A=A14)*(Lançamentos!E:E=C14),0)),0)</f>
        <v/>
      </c>
      <c r="F14" s="11">
        <f>C14-E14</f>
        <v/>
      </c>
      <c r="G14">
        <f>IF(A14="","",IF(ABS(F14)&lt;0.01,"✓ CONCILIADO","⚠ DIVERGÊNCIA"))</f>
        <v/>
      </c>
    </row>
    <row r="15">
      <c r="C15" s="16" t="n"/>
      <c r="E15" s="16">
        <f>IFERROR(INDEX(Lançamentos!E:E,MATCH(1,(Lançamentos!A:A=A15)*(Lançamentos!E:E=C15),0)),0)</f>
        <v/>
      </c>
      <c r="F15" s="11">
        <f>C15-E15</f>
        <v/>
      </c>
      <c r="G15">
        <f>IF(A15="","",IF(ABS(F15)&lt;0.01,"✓ CONCILIADO","⚠ DIVERGÊNCIA"))</f>
        <v/>
      </c>
    </row>
    <row r="16">
      <c r="C16" s="16" t="n"/>
      <c r="E16" s="16">
        <f>IFERROR(INDEX(Lançamentos!E:E,MATCH(1,(Lançamentos!A:A=A16)*(Lançamentos!E:E=C16),0)),0)</f>
        <v/>
      </c>
      <c r="F16" s="11">
        <f>C16-E16</f>
        <v/>
      </c>
      <c r="G16">
        <f>IF(A16="","",IF(ABS(F16)&lt;0.01,"✓ CONCILIADO","⚠ DIVERGÊNCIA"))</f>
        <v/>
      </c>
    </row>
    <row r="17">
      <c r="C17" s="16" t="n"/>
      <c r="E17" s="16">
        <f>IFERROR(INDEX(Lançamentos!E:E,MATCH(1,(Lançamentos!A:A=A17)*(Lançamentos!E:E=C17),0)),0)</f>
        <v/>
      </c>
      <c r="F17" s="11">
        <f>C17-E17</f>
        <v/>
      </c>
      <c r="G17">
        <f>IF(A17="","",IF(ABS(F17)&lt;0.01,"✓ CONCILIADO","⚠ DIVERGÊNCIA"))</f>
        <v/>
      </c>
    </row>
    <row r="18">
      <c r="C18" s="16" t="n"/>
      <c r="E18" s="16">
        <f>IFERROR(INDEX(Lançamentos!E:E,MATCH(1,(Lançamentos!A:A=A18)*(Lançamentos!E:E=C18),0)),0)</f>
        <v/>
      </c>
      <c r="F18" s="11">
        <f>C18-E18</f>
        <v/>
      </c>
      <c r="G18">
        <f>IF(A18="","",IF(ABS(F18)&lt;0.01,"✓ CONCILIADO","⚠ DIVERGÊNCIA"))</f>
        <v/>
      </c>
    </row>
    <row r="19">
      <c r="C19" s="16" t="n"/>
      <c r="E19" s="16">
        <f>IFERROR(INDEX(Lançamentos!E:E,MATCH(1,(Lançamentos!A:A=A19)*(Lançamentos!E:E=C19),0)),0)</f>
        <v/>
      </c>
      <c r="F19" s="11">
        <f>C19-E19</f>
        <v/>
      </c>
      <c r="G19">
        <f>IF(A19="","",IF(ABS(F19)&lt;0.01,"✓ CONCILIADO","⚠ DIVERGÊNCIA"))</f>
        <v/>
      </c>
    </row>
    <row r="20">
      <c r="C20" s="16" t="n"/>
      <c r="E20" s="16">
        <f>IFERROR(INDEX(Lançamentos!E:E,MATCH(1,(Lançamentos!A:A=A20)*(Lançamentos!E:E=C20),0)),0)</f>
        <v/>
      </c>
      <c r="F20" s="11">
        <f>C20-E20</f>
        <v/>
      </c>
      <c r="G20">
        <f>IF(A20="","",IF(ABS(F20)&lt;0.01,"✓ CONCILIADO","⚠ DIVERGÊNCIA"))</f>
        <v/>
      </c>
    </row>
    <row r="21">
      <c r="C21" s="16" t="n"/>
      <c r="E21" s="16">
        <f>IFERROR(INDEX(Lançamentos!E:E,MATCH(1,(Lançamentos!A:A=A21)*(Lançamentos!E:E=C21),0)),0)</f>
        <v/>
      </c>
      <c r="F21" s="11">
        <f>C21-E21</f>
        <v/>
      </c>
      <c r="G21">
        <f>IF(A21="","",IF(ABS(F21)&lt;0.01,"✓ CONCILIADO","⚠ DIVERGÊNCIA"))</f>
        <v/>
      </c>
    </row>
    <row r="22">
      <c r="C22" s="16" t="n"/>
      <c r="E22" s="16">
        <f>IFERROR(INDEX(Lançamentos!E:E,MATCH(1,(Lançamentos!A:A=A22)*(Lançamentos!E:E=C22),0)),0)</f>
        <v/>
      </c>
      <c r="F22" s="11">
        <f>C22-E22</f>
        <v/>
      </c>
      <c r="G22">
        <f>IF(A22="","",IF(ABS(F22)&lt;0.01,"✓ CONCILIADO","⚠ DIVERGÊNCIA"))</f>
        <v/>
      </c>
    </row>
    <row r="23">
      <c r="C23" s="16" t="n"/>
      <c r="E23" s="16">
        <f>IFERROR(INDEX(Lançamentos!E:E,MATCH(1,(Lançamentos!A:A=A23)*(Lançamentos!E:E=C23),0)),0)</f>
        <v/>
      </c>
      <c r="F23" s="11">
        <f>C23-E23</f>
        <v/>
      </c>
      <c r="G23">
        <f>IF(A23="","",IF(ABS(F23)&lt;0.01,"✓ CONCILIADO","⚠ DIVERGÊNCIA"))</f>
        <v/>
      </c>
    </row>
    <row r="24">
      <c r="C24" s="16" t="n"/>
      <c r="E24" s="16">
        <f>IFERROR(INDEX(Lançamentos!E:E,MATCH(1,(Lançamentos!A:A=A24)*(Lançamentos!E:E=C24),0)),0)</f>
        <v/>
      </c>
      <c r="F24" s="11">
        <f>C24-E24</f>
        <v/>
      </c>
      <c r="G24">
        <f>IF(A24="","",IF(ABS(F24)&lt;0.01,"✓ CONCILIADO","⚠ DIVERGÊNCIA"))</f>
        <v/>
      </c>
    </row>
    <row r="25">
      <c r="C25" s="16" t="n"/>
      <c r="E25" s="16">
        <f>IFERROR(INDEX(Lançamentos!E:E,MATCH(1,(Lançamentos!A:A=A25)*(Lançamentos!E:E=C25),0)),0)</f>
        <v/>
      </c>
      <c r="F25" s="11">
        <f>C25-E25</f>
        <v/>
      </c>
      <c r="G25">
        <f>IF(A25="","",IF(ABS(F25)&lt;0.01,"✓ CONCILIADO","⚠ DIVERGÊNCIA"))</f>
        <v/>
      </c>
    </row>
    <row r="26">
      <c r="C26" s="16" t="n"/>
      <c r="E26" s="16">
        <f>IFERROR(INDEX(Lançamentos!E:E,MATCH(1,(Lançamentos!A:A=A26)*(Lançamentos!E:E=C26),0)),0)</f>
        <v/>
      </c>
      <c r="F26" s="11">
        <f>C26-E26</f>
        <v/>
      </c>
      <c r="G26">
        <f>IF(A26="","",IF(ABS(F26)&lt;0.01,"✓ CONCILIADO","⚠ DIVERGÊNCIA"))</f>
        <v/>
      </c>
    </row>
    <row r="27">
      <c r="C27" s="16" t="n"/>
      <c r="E27" s="16">
        <f>IFERROR(INDEX(Lançamentos!E:E,MATCH(1,(Lançamentos!A:A=A27)*(Lançamentos!E:E=C27),0)),0)</f>
        <v/>
      </c>
      <c r="F27" s="11">
        <f>C27-E27</f>
        <v/>
      </c>
      <c r="G27">
        <f>IF(A27="","",IF(ABS(F27)&lt;0.01,"✓ CONCILIADO","⚠ DIVERGÊNCIA"))</f>
        <v/>
      </c>
    </row>
    <row r="28">
      <c r="C28" s="16" t="n"/>
      <c r="E28" s="16">
        <f>IFERROR(INDEX(Lançamentos!E:E,MATCH(1,(Lançamentos!A:A=A28)*(Lançamentos!E:E=C28),0)),0)</f>
        <v/>
      </c>
      <c r="F28" s="11">
        <f>C28-E28</f>
        <v/>
      </c>
      <c r="G28">
        <f>IF(A28="","",IF(ABS(F28)&lt;0.01,"✓ CONCILIADO","⚠ DIVERGÊNCIA"))</f>
        <v/>
      </c>
    </row>
    <row r="29">
      <c r="C29" s="16" t="n"/>
      <c r="E29" s="16">
        <f>IFERROR(INDEX(Lançamentos!E:E,MATCH(1,(Lançamentos!A:A=A29)*(Lançamentos!E:E=C29),0)),0)</f>
        <v/>
      </c>
      <c r="F29" s="11">
        <f>C29-E29</f>
        <v/>
      </c>
      <c r="G29">
        <f>IF(A29="","",IF(ABS(F29)&lt;0.01,"✓ CONCILIADO","⚠ DIVERGÊNCIA"))</f>
        <v/>
      </c>
    </row>
    <row r="30">
      <c r="C30" s="16" t="n"/>
      <c r="E30" s="16">
        <f>IFERROR(INDEX(Lançamentos!E:E,MATCH(1,(Lançamentos!A:A=A30)*(Lançamentos!E:E=C30),0)),0)</f>
        <v/>
      </c>
      <c r="F30" s="11">
        <f>C30-E30</f>
        <v/>
      </c>
      <c r="G30">
        <f>IF(A30="","",IF(ABS(F30)&lt;0.01,"✓ CONCILIADO","⚠ DIVERGÊNCIA"))</f>
        <v/>
      </c>
    </row>
    <row r="31">
      <c r="C31" s="16" t="n"/>
      <c r="E31" s="16">
        <f>IFERROR(INDEX(Lançamentos!E:E,MATCH(1,(Lançamentos!A:A=A31)*(Lançamentos!E:E=C31),0)),0)</f>
        <v/>
      </c>
      <c r="F31" s="11">
        <f>C31-E31</f>
        <v/>
      </c>
      <c r="G31">
        <f>IF(A31="","",IF(ABS(F31)&lt;0.01,"✓ CONCILIADO","⚠ DIVERGÊNCIA"))</f>
        <v/>
      </c>
    </row>
  </sheetData>
  <conditionalFormatting sqref="G2:G31">
    <cfRule type="cellIs" priority="1" operator="equal" dxfId="0">
      <formula>"✓ CONCILIADO"</formula>
    </cfRule>
    <cfRule type="cellIs" priority="2" operator="equal" dxfId="1">
      <formula>"⚠ DIVERGÊNCIA"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6" customWidth="1" min="4" max="4"/>
    <col width="4" customWidth="1" min="5" max="5"/>
    <col width="4" customWidth="1" min="6" max="6"/>
  </cols>
  <sheetData>
    <row r="1">
      <c r="A1" s="3" t="inlineStr">
        <is>
          <t>Consolidado Bimestral — pronto para conferir antes do SIT</t>
        </is>
      </c>
    </row>
    <row r="3">
      <c r="A3" s="13" t="inlineStr">
        <is>
          <t>Bimestre alvo (ex.: B3/2026):</t>
        </is>
      </c>
      <c r="B3" s="7" t="inlineStr">
        <is>
          <t>B3/2026</t>
        </is>
      </c>
    </row>
    <row r="5">
      <c r="A5" s="8" t="inlineStr">
        <is>
          <t>Rubrica</t>
        </is>
      </c>
      <c r="B5" s="8" t="inlineStr">
        <is>
          <t>Qtd lançamentos</t>
        </is>
      </c>
      <c r="C5" s="8" t="inlineStr">
        <is>
          <t>Total executado (R$)</t>
        </is>
      </c>
      <c r="D5" s="8" t="inlineStr">
        <is>
          <t>% do repasse</t>
        </is>
      </c>
      <c r="E5" s="8" t="inlineStr"/>
      <c r="F5" s="8" t="inlineStr"/>
    </row>
    <row r="6">
      <c r="A6" t="inlineStr">
        <is>
          <t>3.1.90.11</t>
        </is>
      </c>
      <c r="B6">
        <f>COUNTIFS(Lançamentos!F:F,A6,Lançamentos!H:H,$B$3)</f>
        <v/>
      </c>
      <c r="C6" s="11">
        <f>SUMIFS(Lançamentos!E:E,Lançamentos!F:F,A6,Lançamentos!H:H,$B$3)</f>
        <v/>
      </c>
      <c r="D6" s="17">
        <f>IFERROR(C6/repasse,0)</f>
        <v/>
      </c>
    </row>
    <row r="7">
      <c r="A7" t="inlineStr">
        <is>
          <t>3.1.90.13</t>
        </is>
      </c>
      <c r="B7">
        <f>COUNTIFS(Lançamentos!F:F,A7,Lançamentos!H:H,$B$3)</f>
        <v/>
      </c>
      <c r="C7" s="11">
        <f>SUMIFS(Lançamentos!E:E,Lançamentos!F:F,A7,Lançamentos!H:H,$B$3)</f>
        <v/>
      </c>
      <c r="D7" s="17">
        <f>IFERROR(C7/repasse,0)</f>
        <v/>
      </c>
    </row>
    <row r="8">
      <c r="A8" t="inlineStr">
        <is>
          <t>3.3.90.30</t>
        </is>
      </c>
      <c r="B8">
        <f>COUNTIFS(Lançamentos!F:F,A8,Lançamentos!H:H,$B$3)</f>
        <v/>
      </c>
      <c r="C8" s="11">
        <f>SUMIFS(Lançamentos!E:E,Lançamentos!F:F,A8,Lançamentos!H:H,$B$3)</f>
        <v/>
      </c>
      <c r="D8" s="17">
        <f>IFERROR(C8/repasse,0)</f>
        <v/>
      </c>
    </row>
    <row r="9">
      <c r="A9" t="inlineStr">
        <is>
          <t>3.3.90.36</t>
        </is>
      </c>
      <c r="B9">
        <f>COUNTIFS(Lançamentos!F:F,A9,Lançamentos!H:H,$B$3)</f>
        <v/>
      </c>
      <c r="C9" s="11">
        <f>SUMIFS(Lançamentos!E:E,Lançamentos!F:F,A9,Lançamentos!H:H,$B$3)</f>
        <v/>
      </c>
      <c r="D9" s="17">
        <f>IFERROR(C9/repasse,0)</f>
        <v/>
      </c>
    </row>
    <row r="10">
      <c r="A10" t="inlineStr">
        <is>
          <t>3.3.90.39</t>
        </is>
      </c>
      <c r="B10">
        <f>COUNTIFS(Lançamentos!F:F,A10,Lançamentos!H:H,$B$3)</f>
        <v/>
      </c>
      <c r="C10" s="11">
        <f>SUMIFS(Lançamentos!E:E,Lançamentos!F:F,A10,Lançamentos!H:H,$B$3)</f>
        <v/>
      </c>
      <c r="D10" s="17">
        <f>IFERROR(C10/repasse,0)</f>
        <v/>
      </c>
    </row>
    <row r="11">
      <c r="A11" t="inlineStr">
        <is>
          <t>3.3.90.40</t>
        </is>
      </c>
      <c r="B11">
        <f>COUNTIFS(Lançamentos!F:F,A11,Lançamentos!H:H,$B$3)</f>
        <v/>
      </c>
      <c r="C11" s="11">
        <f>SUMIFS(Lançamentos!E:E,Lançamentos!F:F,A11,Lançamentos!H:H,$B$3)</f>
        <v/>
      </c>
      <c r="D11" s="17">
        <f>IFERROR(C11/repasse,0)</f>
        <v/>
      </c>
    </row>
    <row r="12">
      <c r="A12" t="inlineStr">
        <is>
          <t>4.4.90.52</t>
        </is>
      </c>
      <c r="B12">
        <f>COUNTIFS(Lançamentos!F:F,A12,Lançamentos!H:H,$B$3)</f>
        <v/>
      </c>
      <c r="C12" s="11">
        <f>SUMIFS(Lançamentos!E:E,Lançamentos!F:F,A12,Lançamentos!H:H,$B$3)</f>
        <v/>
      </c>
      <c r="D12" s="17">
        <f>IFERROR(C12/repasse,0)</f>
        <v/>
      </c>
    </row>
    <row r="13">
      <c r="A13" s="13" t="inlineStr">
        <is>
          <t>TOTAL</t>
        </is>
      </c>
      <c r="B13" s="13">
        <f>SUM(B6:B12)</f>
        <v/>
      </c>
      <c r="C13" s="18">
        <f>SUM(C6:C12)</f>
        <v/>
      </c>
      <c r="D13" s="19">
        <f>IFERROR(C13/repasse,0)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8" customWidth="1" min="3" max="3"/>
    <col width="2" customWidth="1" min="4" max="4"/>
    <col width="18" customWidth="1" min="5" max="5"/>
    <col width="10" customWidth="1" min="6" max="6"/>
  </cols>
  <sheetData>
    <row r="1">
      <c r="A1" s="3" t="inlineStr">
        <is>
          <t>Checklist de transmissão — IN 201/2026</t>
        </is>
      </c>
    </row>
    <row r="3">
      <c r="A3" s="8" t="inlineStr">
        <is>
          <t>#</t>
        </is>
      </c>
      <c r="B3" s="8" t="inlineStr">
        <is>
          <t>Item</t>
        </is>
      </c>
      <c r="C3" s="8" t="inlineStr">
        <is>
          <t>Status (X = ok)</t>
        </is>
      </c>
      <c r="E3" s="13" t="inlineStr">
        <is>
          <t>Itens concluídos:</t>
        </is>
      </c>
      <c r="F3">
        <f>COUNTIF(C4:C18,"x")+COUNTIF(C4:C18,"X")</f>
        <v/>
      </c>
    </row>
    <row r="4">
      <c r="A4" t="n">
        <v>1</v>
      </c>
      <c r="B4" t="inlineStr">
        <is>
          <t>Plano de trabalho assinado e dentro da vigência</t>
        </is>
      </c>
      <c r="C4" s="20" t="inlineStr"/>
      <c r="E4" t="inlineStr">
        <is>
          <t>Total:</t>
        </is>
      </c>
      <c r="F4" t="n">
        <v>15</v>
      </c>
    </row>
    <row r="5">
      <c r="A5" t="n">
        <v>2</v>
      </c>
      <c r="B5" t="inlineStr">
        <is>
          <t>Todas as despesas têm NF/recibo digitalizado anexado</t>
        </is>
      </c>
      <c r="C5" s="20" t="inlineStr"/>
      <c r="E5" t="inlineStr">
        <is>
          <t>% conclusão:</t>
        </is>
      </c>
      <c r="F5" s="21">
        <f>F3/F4</f>
        <v/>
      </c>
    </row>
    <row r="6">
      <c r="A6" t="n">
        <v>3</v>
      </c>
      <c r="B6" t="inlineStr">
        <is>
          <t>CNPJ do fornecedor validado (dígito verificador)</t>
        </is>
      </c>
      <c r="C6" s="20" t="inlineStr"/>
    </row>
    <row r="7">
      <c r="A7" t="n">
        <v>4</v>
      </c>
      <c r="B7" t="inlineStr">
        <is>
          <t>Conta bancária do termo é exclusiva (sem mistura com outros recursos)</t>
        </is>
      </c>
      <c r="C7" s="20" t="inlineStr"/>
    </row>
    <row r="8">
      <c r="A8" t="n">
        <v>5</v>
      </c>
      <c r="B8" t="inlineStr">
        <is>
          <t>Rendimentos da aplicação financeira lançados separadamente</t>
        </is>
      </c>
      <c r="C8" s="20" t="inlineStr"/>
    </row>
    <row r="9">
      <c r="A9" t="n">
        <v>6</v>
      </c>
      <c r="B9" t="inlineStr">
        <is>
          <t>Conciliação bancária do bimestre sem divergências</t>
        </is>
      </c>
      <c r="C9" s="20" t="inlineStr"/>
    </row>
    <row r="10">
      <c r="A10" t="n">
        <v>7</v>
      </c>
      <c r="B10" t="inlineStr">
        <is>
          <t>Folha de pagamento com INSS, FGTS e IRRF recolhidos no prazo</t>
        </is>
      </c>
      <c r="C10" s="20" t="inlineStr"/>
    </row>
    <row r="11">
      <c r="A11" t="n">
        <v>8</v>
      </c>
      <c r="B11" t="inlineStr">
        <is>
          <t>Contratos de PF/PJ acima de R$ 8.000 com 3 cotações anexadas</t>
        </is>
      </c>
      <c r="C11" s="20" t="inlineStr"/>
    </row>
    <row r="12">
      <c r="A12" t="n">
        <v>9</v>
      </c>
      <c r="B12" t="inlineStr">
        <is>
          <t>Notas fiscais emitidas em nome da OSC (não pessoa física)</t>
        </is>
      </c>
      <c r="C12" s="20" t="inlineStr"/>
    </row>
    <row r="13">
      <c r="A13" t="n">
        <v>10</v>
      </c>
      <c r="B13" t="inlineStr">
        <is>
          <t>Despesas dentro das rubricas do plano de aplicação aprovado</t>
        </is>
      </c>
      <c r="C13" s="20" t="inlineStr"/>
    </row>
    <row r="14">
      <c r="A14" t="n">
        <v>11</v>
      </c>
      <c r="B14" t="inlineStr">
        <is>
          <t>Lista de presença dos usuários do SCFV (frequência mínima 60%)</t>
        </is>
      </c>
      <c r="C14" s="20" t="inlineStr"/>
    </row>
    <row r="15">
      <c r="A15" t="n">
        <v>12</v>
      </c>
      <c r="B15" t="inlineStr">
        <is>
          <t>Relatório de execução físico-financeira do bimestre assinado</t>
        </is>
      </c>
      <c r="C15" s="20" t="inlineStr"/>
    </row>
    <row r="16">
      <c r="A16" t="n">
        <v>13</v>
      </c>
      <c r="B16" t="inlineStr">
        <is>
          <t>Atas do conselho de assistência social referentes ao período</t>
        </is>
      </c>
      <c r="C16" s="20" t="inlineStr"/>
    </row>
    <row r="17">
      <c r="A17" t="n">
        <v>14</v>
      </c>
      <c r="B17" t="inlineStr">
        <is>
          <t>Devoluções ao fundo (se houver) com guia de recolhimento anexada</t>
        </is>
      </c>
      <c r="C17" s="20" t="inlineStr"/>
    </row>
    <row r="18">
      <c r="A18" t="n">
        <v>15</v>
      </c>
      <c r="B18" t="inlineStr">
        <is>
          <t>Cópia do arquivo .txt validado no validador do TCE-PR antes do envio</t>
        </is>
      </c>
      <c r="C18" s="20" t="inlineStr"/>
    </row>
  </sheetData>
  <mergeCells count="1">
    <mergeCell ref="A1:C1"/>
  </mergeCells>
  <conditionalFormatting sqref="C4:C18">
    <cfRule type="expression" priority="1" dxfId="0">
      <formula>UPPER(C4)="X"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2" customWidth="1" min="3" max="3"/>
  </cols>
  <sheetData>
    <row r="1">
      <c r="A1" s="3" t="inlineStr">
        <is>
          <t>Alertas automáticos</t>
        </is>
      </c>
    </row>
    <row r="3">
      <c r="A3" s="8" t="inlineStr">
        <is>
          <t>Verificação</t>
        </is>
      </c>
      <c r="B3" s="8" t="inlineStr">
        <is>
          <t>Resultado</t>
        </is>
      </c>
      <c r="C3" s="8" t="inlineStr"/>
    </row>
    <row r="4">
      <c r="A4" s="13" t="inlineStr">
        <is>
          <t>Total executado maior que repasse</t>
        </is>
      </c>
      <c r="B4">
        <f>IF('Plano de Aplicação'!D9&gt;repasse,"⚠ Execução excede o repasse total","✓ Dentro do limite")</f>
        <v/>
      </c>
    </row>
    <row r="5">
      <c r="A5" s="13" t="inlineStr">
        <is>
          <t>Lançamentos com rubrica inválida</t>
        </is>
      </c>
      <c r="B5">
        <f>COUNTIF(Lançamentos!J2:J31,"RUBRICA INVÁLIDA")&amp;" lançamento(s) com rubrica fora do plano"</f>
        <v/>
      </c>
    </row>
    <row r="6">
      <c r="A6" s="13" t="inlineStr">
        <is>
          <t>Divergências de conciliação</t>
        </is>
      </c>
      <c r="B6">
        <f>COUNTIF('Conciliação Bancária'!G2:G31,"⚠ DIVERGÊNCIA")&amp;" divergência(s) entre extrato e planilha"</f>
        <v/>
      </c>
    </row>
    <row r="7">
      <c r="A7" s="13" t="inlineStr">
        <is>
          <t>Saldo a executar</t>
        </is>
      </c>
      <c r="B7">
        <f>"Saldo disponível: R$ "&amp;TEXT(repasse-'Plano de Aplicação'!D9,"#,##0.00")</f>
        <v/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2" t="inlineStr">
        <is>
          <t>Cansou de fazer isso na mão?</t>
        </is>
      </c>
    </row>
    <row r="3">
      <c r="A3" s="23" t="inlineStr">
        <is>
          <t>O SynSIT faz tudo isso automaticamente:</t>
        </is>
      </c>
    </row>
    <row r="5">
      <c r="A5" s="24" t="inlineStr">
        <is>
          <t>• Lê seus PDFs de NF, boleto e holerite e extrai os dados</t>
        </is>
      </c>
    </row>
    <row r="6">
      <c r="A6" s="24" t="inlineStr">
        <is>
          <t>• Concilia o extrato bancário sozinho</t>
        </is>
      </c>
    </row>
    <row r="7">
      <c r="A7" s="24" t="inlineStr">
        <is>
          <t>• Monta o arquivo .txt no leiaute exato do SIT TCE-PR</t>
        </is>
      </c>
    </row>
    <row r="8">
      <c r="A8" s="24" t="inlineStr">
        <is>
          <t>• Valida CNPJ, rubrica e saldo em tempo real</t>
        </is>
      </c>
    </row>
    <row r="9">
      <c r="A9" s="24" t="inlineStr">
        <is>
          <t>• Gera mapa comparativo de 3 cotações para você</t>
        </is>
      </c>
    </row>
    <row r="10">
      <c r="A10" s="24" t="inlineStr">
        <is>
          <t>• Mantém histórico para auditoria com 1 clique</t>
        </is>
      </c>
    </row>
    <row r="11">
      <c r="A11" t="inlineStr"/>
    </row>
    <row r="12">
      <c r="A12" t="inlineStr">
        <is>
          <t>Para gestores de OSC e escritórios contábeis que atendem o terceiro setor.</t>
        </is>
      </c>
    </row>
    <row r="13">
      <c r="A13" t="inlineStr"/>
    </row>
    <row r="14">
      <c r="A14" t="inlineStr">
        <is>
          <t>Demonstração gratuita (30 dias, sem cartão):</t>
        </is>
      </c>
    </row>
    <row r="15">
      <c r="A15" s="25" t="inlineStr">
        <is>
          <t>https://synsit.lovable.app/demonstracao</t>
        </is>
      </c>
    </row>
  </sheetData>
  <mergeCells count="13">
    <mergeCell ref="A1:D1"/>
    <mergeCell ref="A5:D5"/>
    <mergeCell ref="A9:D9"/>
    <mergeCell ref="A8:D8"/>
    <mergeCell ref="A6:D6"/>
    <mergeCell ref="A12:D12"/>
    <mergeCell ref="A3:D3"/>
    <mergeCell ref="A15:D15"/>
    <mergeCell ref="A7:D7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2026-05-27T08:45:46Z</dcterms:created>
  <dcterms:modified xmlns:dcterms="http://purl.org/dc/terms/" xmlns:xsi="http://www.w3.org/2001/XMLSchema-instance" xsi:type="dcterms:W3CDTF">2026-05-27T08:45:46Z</dcterms:modified>
</cp:coreProperties>
</file>